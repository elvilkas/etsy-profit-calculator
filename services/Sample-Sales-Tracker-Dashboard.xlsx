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Target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'Dashboard'!$A$2:$A$13</f>
            </numRef>
          </cat>
          <val>
            <numRef>
              <f>'Dashboard'!$B$2:$B$13</f>
            </numRef>
          </val>
        </ser>
        <ser>
          <idx val="1"/>
          <order val="1"/>
          <tx>
            <strRef>
              <f>'Dashboard'!C1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'Dashboard'!$A$2:$A$13</f>
            </numRef>
          </cat>
          <val>
            <numRef>
              <f>'Dashboard'!$C$2:$C$13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Rep</t>
        </is>
      </c>
      <c r="C1" s="1" t="inlineStr">
        <is>
          <t>Product</t>
        </is>
      </c>
      <c r="D1" s="1" t="inlineStr">
        <is>
          <t>Amount</t>
        </is>
      </c>
      <c r="E1" s="1" t="inlineStr">
        <is>
          <t>Month</t>
        </is>
      </c>
    </row>
    <row r="2">
      <c r="A2" s="2" t="n">
        <v>46025</v>
      </c>
      <c r="B2" t="inlineStr">
        <is>
          <t>Anna</t>
        </is>
      </c>
      <c r="C2" t="inlineStr">
        <is>
          <t>A</t>
        </is>
      </c>
      <c r="D2" t="n">
        <v>300</v>
      </c>
      <c r="E2">
        <f>MONTH(A2)</f>
        <v/>
      </c>
    </row>
    <row r="3">
      <c r="A3" s="2" t="n">
        <v>46057</v>
      </c>
      <c r="B3" t="inlineStr">
        <is>
          <t>Ben</t>
        </is>
      </c>
      <c r="C3" t="inlineStr">
        <is>
          <t>B</t>
        </is>
      </c>
      <c r="D3" t="n">
        <v>337</v>
      </c>
      <c r="E3">
        <f>MONTH(A3)</f>
        <v/>
      </c>
    </row>
    <row r="4">
      <c r="A4" s="2" t="n">
        <v>46086</v>
      </c>
      <c r="B4" t="inlineStr">
        <is>
          <t>Chris</t>
        </is>
      </c>
      <c r="C4" t="inlineStr">
        <is>
          <t>A</t>
        </is>
      </c>
      <c r="D4" t="n">
        <v>374</v>
      </c>
      <c r="E4">
        <f>MONTH(A4)</f>
        <v/>
      </c>
    </row>
    <row r="5">
      <c r="A5" s="2" t="n">
        <v>46118</v>
      </c>
      <c r="B5" t="inlineStr">
        <is>
          <t>Anna</t>
        </is>
      </c>
      <c r="C5" t="inlineStr">
        <is>
          <t>B</t>
        </is>
      </c>
      <c r="D5" t="n">
        <v>411</v>
      </c>
      <c r="E5">
        <f>MONTH(A5)</f>
        <v/>
      </c>
    </row>
    <row r="6">
      <c r="A6" s="2" t="n">
        <v>46149</v>
      </c>
      <c r="B6" t="inlineStr">
        <is>
          <t>Ben</t>
        </is>
      </c>
      <c r="C6" t="inlineStr">
        <is>
          <t>A</t>
        </is>
      </c>
      <c r="D6" t="n">
        <v>448</v>
      </c>
      <c r="E6">
        <f>MONTH(A6)</f>
        <v/>
      </c>
    </row>
    <row r="7">
      <c r="A7" s="2" t="n">
        <v>46181</v>
      </c>
      <c r="B7" t="inlineStr">
        <is>
          <t>Chris</t>
        </is>
      </c>
      <c r="C7" t="inlineStr">
        <is>
          <t>B</t>
        </is>
      </c>
      <c r="D7" t="n">
        <v>485</v>
      </c>
      <c r="E7">
        <f>MONTH(A7)</f>
        <v/>
      </c>
    </row>
    <row r="8">
      <c r="A8" s="2" t="n">
        <v>46031</v>
      </c>
      <c r="B8" t="inlineStr">
        <is>
          <t>Anna</t>
        </is>
      </c>
      <c r="C8" t="inlineStr">
        <is>
          <t>A</t>
        </is>
      </c>
      <c r="D8" t="n">
        <v>522</v>
      </c>
      <c r="E8">
        <f>MONTH(A8)</f>
        <v/>
      </c>
    </row>
    <row r="9">
      <c r="A9" s="2" t="n">
        <v>46063</v>
      </c>
      <c r="B9" t="inlineStr">
        <is>
          <t>Ben</t>
        </is>
      </c>
      <c r="C9" t="inlineStr">
        <is>
          <t>B</t>
        </is>
      </c>
      <c r="D9" t="n">
        <v>559</v>
      </c>
      <c r="E9">
        <f>MONTH(A9)</f>
        <v/>
      </c>
    </row>
    <row r="10">
      <c r="A10" s="2" t="n">
        <v>46092</v>
      </c>
      <c r="B10" t="inlineStr">
        <is>
          <t>Chris</t>
        </is>
      </c>
      <c r="C10" t="inlineStr">
        <is>
          <t>A</t>
        </is>
      </c>
      <c r="D10" t="n">
        <v>596</v>
      </c>
      <c r="E10">
        <f>MONTH(A10)</f>
        <v/>
      </c>
    </row>
    <row r="11">
      <c r="A11" s="2" t="n">
        <v>46124</v>
      </c>
      <c r="B11" t="inlineStr">
        <is>
          <t>Anna</t>
        </is>
      </c>
      <c r="C11" t="inlineStr">
        <is>
          <t>B</t>
        </is>
      </c>
      <c r="D11" t="n">
        <v>633</v>
      </c>
      <c r="E11">
        <f>MONTH(A11)</f>
        <v/>
      </c>
    </row>
    <row r="12">
      <c r="A12" s="2" t="n">
        <v>46155</v>
      </c>
      <c r="B12" t="inlineStr">
        <is>
          <t>Ben</t>
        </is>
      </c>
      <c r="C12" t="inlineStr">
        <is>
          <t>A</t>
        </is>
      </c>
      <c r="D12" t="n">
        <v>670</v>
      </c>
      <c r="E12">
        <f>MONTH(A12)</f>
        <v/>
      </c>
    </row>
    <row r="13">
      <c r="A13" s="2" t="n">
        <v>46187</v>
      </c>
      <c r="B13" t="inlineStr">
        <is>
          <t>Chris</t>
        </is>
      </c>
      <c r="C13" t="inlineStr">
        <is>
          <t>B</t>
        </is>
      </c>
      <c r="D13" t="n">
        <v>707</v>
      </c>
      <c r="E13">
        <f>MONTH(A13)</f>
        <v/>
      </c>
    </row>
    <row r="14">
      <c r="A14" s="2" t="n">
        <v>46037</v>
      </c>
      <c r="B14" t="inlineStr">
        <is>
          <t>Anna</t>
        </is>
      </c>
      <c r="C14" t="inlineStr">
        <is>
          <t>A</t>
        </is>
      </c>
      <c r="D14" t="n">
        <v>744</v>
      </c>
      <c r="E14">
        <f>MONTH(A14)</f>
        <v/>
      </c>
    </row>
    <row r="15">
      <c r="A15" s="2" t="n">
        <v>46069</v>
      </c>
      <c r="B15" t="inlineStr">
        <is>
          <t>Ben</t>
        </is>
      </c>
      <c r="C15" t="inlineStr">
        <is>
          <t>B</t>
        </is>
      </c>
      <c r="D15" t="n">
        <v>781</v>
      </c>
      <c r="E15">
        <f>MONTH(A15)</f>
        <v/>
      </c>
    </row>
    <row r="16">
      <c r="A16" s="2" t="n">
        <v>46098</v>
      </c>
      <c r="B16" t="inlineStr">
        <is>
          <t>Chris</t>
        </is>
      </c>
      <c r="C16" t="inlineStr">
        <is>
          <t>A</t>
        </is>
      </c>
      <c r="D16" t="n">
        <v>818</v>
      </c>
      <c r="E16">
        <f>MONTH(A16)</f>
        <v/>
      </c>
    </row>
    <row r="17">
      <c r="A17" s="2" t="n">
        <v>46130</v>
      </c>
      <c r="B17" t="inlineStr">
        <is>
          <t>Anna</t>
        </is>
      </c>
      <c r="C17" t="inlineStr">
        <is>
          <t>B</t>
        </is>
      </c>
      <c r="D17" t="n">
        <v>855</v>
      </c>
      <c r="E17">
        <f>MONTH(A17)</f>
        <v/>
      </c>
    </row>
    <row r="18">
      <c r="A18" s="2" t="n">
        <v>46161</v>
      </c>
      <c r="B18" t="inlineStr">
        <is>
          <t>Ben</t>
        </is>
      </c>
      <c r="C18" t="inlineStr">
        <is>
          <t>A</t>
        </is>
      </c>
      <c r="D18" t="n">
        <v>892</v>
      </c>
      <c r="E18">
        <f>MONTH(A18)</f>
        <v/>
      </c>
    </row>
    <row r="19">
      <c r="A19" s="2" t="n">
        <v>46193</v>
      </c>
      <c r="B19" t="inlineStr">
        <is>
          <t>Chris</t>
        </is>
      </c>
      <c r="C19" t="inlineStr">
        <is>
          <t>B</t>
        </is>
      </c>
      <c r="D19" t="n">
        <v>929</v>
      </c>
      <c r="E19">
        <f>MONTH(A19)</f>
        <v/>
      </c>
    </row>
  </sheetData>
  <dataValidations count="1">
    <dataValidation sqref="B2:B500" showDropDown="0" showInputMessage="0" showErrorMessage="0" allowBlank="0" type="list">
      <formula1>"Anna,Ben,Chris"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% of target</t>
        </is>
      </c>
      <c r="E1" s="1" t="inlineStr">
        <is>
          <t>YTD actual</t>
        </is>
      </c>
      <c r="F1" s="1" t="inlineStr">
        <is>
          <t>Status</t>
        </is>
      </c>
    </row>
    <row r="2">
      <c r="A2" t="inlineStr">
        <is>
          <t>Jan</t>
        </is>
      </c>
      <c r="B2" t="n">
        <v>2000</v>
      </c>
      <c r="C2">
        <f>SUMIFS('Data entry'!$D$2:$D$500,'Data entry'!$E$2:$E$500,1)</f>
        <v/>
      </c>
      <c r="D2" s="3">
        <f>IF(B2=0,0,C2/B2)</f>
        <v/>
      </c>
      <c r="E2">
        <f>SUM($C$2:C2)</f>
        <v/>
      </c>
      <c r="F2">
        <f>IF(D2&gt;=1,"On target",IF(D2&gt;=0.8,"Close","Behind"))</f>
        <v/>
      </c>
    </row>
    <row r="3">
      <c r="A3" t="inlineStr">
        <is>
          <t>Feb</t>
        </is>
      </c>
      <c r="B3" t="n">
        <v>2000</v>
      </c>
      <c r="C3">
        <f>SUMIFS('Data entry'!$D$2:$D$500,'Data entry'!$E$2:$E$500,2)</f>
        <v/>
      </c>
      <c r="D3" s="3">
        <f>IF(B3=0,0,C3/B3)</f>
        <v/>
      </c>
      <c r="E3">
        <f>SUM($C$2:C3)</f>
        <v/>
      </c>
      <c r="F3">
        <f>IF(D3&gt;=1,"On target",IF(D3&gt;=0.8,"Close","Behind"))</f>
        <v/>
      </c>
    </row>
    <row r="4">
      <c r="A4" t="inlineStr">
        <is>
          <t>Mar</t>
        </is>
      </c>
      <c r="B4" t="n">
        <v>2000</v>
      </c>
      <c r="C4">
        <f>SUMIFS('Data entry'!$D$2:$D$500,'Data entry'!$E$2:$E$500,3)</f>
        <v/>
      </c>
      <c r="D4" s="3">
        <f>IF(B4=0,0,C4/B4)</f>
        <v/>
      </c>
      <c r="E4">
        <f>SUM($C$2:C4)</f>
        <v/>
      </c>
      <c r="F4">
        <f>IF(D4&gt;=1,"On target",IF(D4&gt;=0.8,"Close","Behind"))</f>
        <v/>
      </c>
    </row>
    <row r="5">
      <c r="A5" t="inlineStr">
        <is>
          <t>Apr</t>
        </is>
      </c>
      <c r="B5" t="n">
        <v>2000</v>
      </c>
      <c r="C5">
        <f>SUMIFS('Data entry'!$D$2:$D$500,'Data entry'!$E$2:$E$500,4)</f>
        <v/>
      </c>
      <c r="D5" s="3">
        <f>IF(B5=0,0,C5/B5)</f>
        <v/>
      </c>
      <c r="E5">
        <f>SUM($C$2:C5)</f>
        <v/>
      </c>
      <c r="F5">
        <f>IF(D5&gt;=1,"On target",IF(D5&gt;=0.8,"Close","Behind"))</f>
        <v/>
      </c>
    </row>
    <row r="6">
      <c r="A6" t="inlineStr">
        <is>
          <t>May</t>
        </is>
      </c>
      <c r="B6" t="n">
        <v>2000</v>
      </c>
      <c r="C6">
        <f>SUMIFS('Data entry'!$D$2:$D$500,'Data entry'!$E$2:$E$500,5)</f>
        <v/>
      </c>
      <c r="D6" s="3">
        <f>IF(B6=0,0,C6/B6)</f>
        <v/>
      </c>
      <c r="E6">
        <f>SUM($C$2:C6)</f>
        <v/>
      </c>
      <c r="F6">
        <f>IF(D6&gt;=1,"On target",IF(D6&gt;=0.8,"Close","Behind"))</f>
        <v/>
      </c>
    </row>
    <row r="7">
      <c r="A7" t="inlineStr">
        <is>
          <t>Jun</t>
        </is>
      </c>
      <c r="B7" t="n">
        <v>2000</v>
      </c>
      <c r="C7">
        <f>SUMIFS('Data entry'!$D$2:$D$500,'Data entry'!$E$2:$E$500,6)</f>
        <v/>
      </c>
      <c r="D7" s="3">
        <f>IF(B7=0,0,C7/B7)</f>
        <v/>
      </c>
      <c r="E7">
        <f>SUM($C$2:C7)</f>
        <v/>
      </c>
      <c r="F7">
        <f>IF(D7&gt;=1,"On target",IF(D7&gt;=0.8,"Close","Behind"))</f>
        <v/>
      </c>
    </row>
    <row r="8">
      <c r="A8" t="inlineStr">
        <is>
          <t>Jul</t>
        </is>
      </c>
      <c r="B8" t="n">
        <v>2000</v>
      </c>
      <c r="C8">
        <f>SUMIFS('Data entry'!$D$2:$D$500,'Data entry'!$E$2:$E$500,7)</f>
        <v/>
      </c>
      <c r="D8" s="3">
        <f>IF(B8=0,0,C8/B8)</f>
        <v/>
      </c>
      <c r="E8">
        <f>SUM($C$2:C8)</f>
        <v/>
      </c>
      <c r="F8">
        <f>IF(D8&gt;=1,"On target",IF(D8&gt;=0.8,"Close","Behind"))</f>
        <v/>
      </c>
    </row>
    <row r="9">
      <c r="A9" t="inlineStr">
        <is>
          <t>Aug</t>
        </is>
      </c>
      <c r="B9" t="n">
        <v>2000</v>
      </c>
      <c r="C9">
        <f>SUMIFS('Data entry'!$D$2:$D$500,'Data entry'!$E$2:$E$500,8)</f>
        <v/>
      </c>
      <c r="D9" s="3">
        <f>IF(B9=0,0,C9/B9)</f>
        <v/>
      </c>
      <c r="E9">
        <f>SUM($C$2:C9)</f>
        <v/>
      </c>
      <c r="F9">
        <f>IF(D9&gt;=1,"On target",IF(D9&gt;=0.8,"Close","Behind"))</f>
        <v/>
      </c>
    </row>
    <row r="10">
      <c r="A10" t="inlineStr">
        <is>
          <t>Sep</t>
        </is>
      </c>
      <c r="B10" t="n">
        <v>2000</v>
      </c>
      <c r="C10">
        <f>SUMIFS('Data entry'!$D$2:$D$500,'Data entry'!$E$2:$E$500,9)</f>
        <v/>
      </c>
      <c r="D10" s="3">
        <f>IF(B10=0,0,C10/B10)</f>
        <v/>
      </c>
      <c r="E10">
        <f>SUM($C$2:C10)</f>
        <v/>
      </c>
      <c r="F10">
        <f>IF(D10&gt;=1,"On target",IF(D10&gt;=0.8,"Close","Behind"))</f>
        <v/>
      </c>
    </row>
    <row r="11">
      <c r="A11" t="inlineStr">
        <is>
          <t>Oct</t>
        </is>
      </c>
      <c r="B11" t="n">
        <v>2000</v>
      </c>
      <c r="C11">
        <f>SUMIFS('Data entry'!$D$2:$D$500,'Data entry'!$E$2:$E$500,10)</f>
        <v/>
      </c>
      <c r="D11" s="3">
        <f>IF(B11=0,0,C11/B11)</f>
        <v/>
      </c>
      <c r="E11">
        <f>SUM($C$2:C11)</f>
        <v/>
      </c>
      <c r="F11">
        <f>IF(D11&gt;=1,"On target",IF(D11&gt;=0.8,"Close","Behind"))</f>
        <v/>
      </c>
    </row>
    <row r="12">
      <c r="A12" t="inlineStr">
        <is>
          <t>Nov</t>
        </is>
      </c>
      <c r="B12" t="n">
        <v>2000</v>
      </c>
      <c r="C12">
        <f>SUMIFS('Data entry'!$D$2:$D$500,'Data entry'!$E$2:$E$500,11)</f>
        <v/>
      </c>
      <c r="D12" s="3">
        <f>IF(B12=0,0,C12/B12)</f>
        <v/>
      </c>
      <c r="E12">
        <f>SUM($C$2:C12)</f>
        <v/>
      </c>
      <c r="F12">
        <f>IF(D12&gt;=1,"On target",IF(D12&gt;=0.8,"Close","Behind"))</f>
        <v/>
      </c>
    </row>
    <row r="13">
      <c r="A13" t="inlineStr">
        <is>
          <t>Dec</t>
        </is>
      </c>
      <c r="B13" t="n">
        <v>2000</v>
      </c>
      <c r="C13">
        <f>SUMIFS('Data entry'!$D$2:$D$500,'Data entry'!$E$2:$E$500,12)</f>
        <v/>
      </c>
      <c r="D13" s="3">
        <f>IF(B13=0,0,C13/B13)</f>
        <v/>
      </c>
      <c r="E13">
        <f>SUM($C$2:C13)</f>
        <v/>
      </c>
      <c r="F13">
        <f>IF(D13&gt;=1,"On target",IF(D13&gt;=0.8,"Close","Behind"))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2026-10-23T13:35:56Z</dcterms:created>
  <dcterms:modified xsi:type="dcterms:W3CDTF">2026-10-23T13:35:56Z</dcterms:modified>
</cp:coreProperties>
</file>