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payments" sheetId="1" state="visible" r:id="rId1"/>
    <sheet name="Cash 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Closing cash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flow'!$A$2:$A$13</f>
            </numRef>
          </cat>
          <val>
            <numRef>
              <f>'Cash flow'!$E$2:$E$13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Payment</t>
        </is>
      </c>
      <c r="B1" s="1" t="inlineStr">
        <is>
          <t>Type</t>
        </is>
      </c>
      <c r="C1" s="1" t="inlineStr">
        <is>
          <t>Monthly amount</t>
        </is>
      </c>
      <c r="D1" s="1" t="inlineStr">
        <is>
          <t>Due day</t>
        </is>
      </c>
      <c r="E1" s="1" t="inlineStr">
        <is>
          <t>Start month (1-12)</t>
        </is>
      </c>
      <c r="F1" s="1" t="inlineStr">
        <is>
          <t>End month (1-12)</t>
        </is>
      </c>
    </row>
    <row r="2">
      <c r="A2" t="inlineStr">
        <is>
          <t>Loan repayment</t>
        </is>
      </c>
      <c r="B2" t="inlineStr">
        <is>
          <t>Loan</t>
        </is>
      </c>
      <c r="C2" t="n">
        <v>850</v>
      </c>
      <c r="D2" t="n">
        <v>5</v>
      </c>
      <c r="E2" t="n">
        <v>1</v>
      </c>
      <c r="F2" t="n">
        <v>12</v>
      </c>
    </row>
    <row r="3">
      <c r="A3" t="inlineStr">
        <is>
          <t>VAT / sales tax</t>
        </is>
      </c>
      <c r="B3" t="inlineStr">
        <is>
          <t>Tax</t>
        </is>
      </c>
      <c r="C3" t="n">
        <v>400</v>
      </c>
      <c r="D3" t="n">
        <v>20</v>
      </c>
      <c r="E3" t="n">
        <v>1</v>
      </c>
      <c r="F3" t="n">
        <v>12</v>
      </c>
    </row>
    <row r="4">
      <c r="A4" t="inlineStr">
        <is>
          <t>Rent</t>
        </is>
      </c>
      <c r="B4" t="inlineStr">
        <is>
          <t>Fixed</t>
        </is>
      </c>
      <c r="C4" t="n">
        <v>1200</v>
      </c>
      <c r="D4" t="n">
        <v>1</v>
      </c>
      <c r="E4" t="n">
        <v>1</v>
      </c>
      <c r="F4" t="n">
        <v>12</v>
      </c>
    </row>
    <row r="5">
      <c r="A5" t="inlineStr">
        <is>
          <t>Software</t>
        </is>
      </c>
      <c r="B5" t="inlineStr">
        <is>
          <t>Fixed</t>
        </is>
      </c>
      <c r="C5" t="n">
        <v>120</v>
      </c>
      <c r="D5" t="n">
        <v>10</v>
      </c>
      <c r="E5" t="n">
        <v>1</v>
      </c>
      <c r="F5" t="n">
        <v>12</v>
      </c>
    </row>
    <row r="6">
      <c r="A6" t="inlineStr">
        <is>
          <t>Insurance</t>
        </is>
      </c>
      <c r="B6" t="inlineStr">
        <is>
          <t>Fixed</t>
        </is>
      </c>
      <c r="C6" t="n">
        <v>90</v>
      </c>
      <c r="D6" t="n">
        <v>15</v>
      </c>
      <c r="E6" t="n">
        <v>3</v>
      </c>
      <c r="F6" t="n">
        <v>12</v>
      </c>
    </row>
  </sheetData>
  <dataValidations count="1">
    <dataValidation sqref="B2:B60" showDropDown="0" showInputMessage="0" showErrorMessage="0" allowBlank="0" type="list">
      <formula1>"Loan,Tax,Fixed,Other"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Month</t>
        </is>
      </c>
      <c r="B1" s="1" t="inlineStr">
        <is>
          <t>Opening cash</t>
        </is>
      </c>
      <c r="C1" s="1" t="inlineStr">
        <is>
          <t>Expected income</t>
        </is>
      </c>
      <c r="D1" s="1" t="inlineStr">
        <is>
          <t>Fixed payments</t>
        </is>
      </c>
      <c r="E1" s="1" t="inlineStr">
        <is>
          <t>Closing cash</t>
        </is>
      </c>
      <c r="F1" s="1" t="inlineStr">
        <is>
          <t>Alert</t>
        </is>
      </c>
      <c r="H1" t="inlineStr">
        <is>
          <t>Opening cash (start)</t>
        </is>
      </c>
      <c r="I1" t="n">
        <v>5000</v>
      </c>
    </row>
    <row r="2">
      <c r="A2" t="inlineStr">
        <is>
          <t>Jan</t>
        </is>
      </c>
      <c r="B2">
        <f>I1</f>
        <v/>
      </c>
      <c r="C2">
        <f>$I$2</f>
        <v/>
      </c>
      <c r="D2">
        <f>SUMIFS('Fixed payments'!$C$2:$C$60,'Fixed payments'!$E$2:$E$60,"&lt;="&amp;1,'Fixed payments'!$F$2:$F$60,"&gt;="&amp;1)</f>
        <v/>
      </c>
      <c r="E2">
        <f>B2+C2-D2</f>
        <v/>
      </c>
      <c r="F2">
        <f>IF(E2&lt;0,"SHORTFALL",IF(E2&lt;D2,"LOW BUFFER","ok"))</f>
        <v/>
      </c>
      <c r="H2" t="inlineStr">
        <is>
          <t>Monthly income</t>
        </is>
      </c>
      <c r="I2" t="n">
        <v>4200</v>
      </c>
    </row>
    <row r="3">
      <c r="A3" t="inlineStr">
        <is>
          <t>Feb</t>
        </is>
      </c>
      <c r="B3">
        <f>E2</f>
        <v/>
      </c>
      <c r="C3">
        <f>$I$2</f>
        <v/>
      </c>
      <c r="D3">
        <f>SUMIFS('Fixed payments'!$C$2:$C$60,'Fixed payments'!$E$2:$E$60,"&lt;="&amp;2,'Fixed payments'!$F$2:$F$60,"&gt;="&amp;2)</f>
        <v/>
      </c>
      <c r="E3">
        <f>B3+C3-D3</f>
        <v/>
      </c>
      <c r="F3">
        <f>IF(E3&lt;0,"SHORTFALL",IF(E3&lt;D3,"LOW BUFFER","ok"))</f>
        <v/>
      </c>
    </row>
    <row r="4">
      <c r="A4" t="inlineStr">
        <is>
          <t>Mar</t>
        </is>
      </c>
      <c r="B4">
        <f>E3</f>
        <v/>
      </c>
      <c r="C4">
        <f>$I$2</f>
        <v/>
      </c>
      <c r="D4">
        <f>SUMIFS('Fixed payments'!$C$2:$C$60,'Fixed payments'!$E$2:$E$60,"&lt;="&amp;3,'Fixed payments'!$F$2:$F$60,"&gt;="&amp;3)</f>
        <v/>
      </c>
      <c r="E4">
        <f>B4+C4-D4</f>
        <v/>
      </c>
      <c r="F4">
        <f>IF(E4&lt;0,"SHORTFALL",IF(E4&lt;D4,"LOW BUFFER","ok"))</f>
        <v/>
      </c>
    </row>
    <row r="5">
      <c r="A5" t="inlineStr">
        <is>
          <t>Apr</t>
        </is>
      </c>
      <c r="B5">
        <f>E4</f>
        <v/>
      </c>
      <c r="C5">
        <f>$I$2</f>
        <v/>
      </c>
      <c r="D5">
        <f>SUMIFS('Fixed payments'!$C$2:$C$60,'Fixed payments'!$E$2:$E$60,"&lt;="&amp;4,'Fixed payments'!$F$2:$F$60,"&gt;="&amp;4)</f>
        <v/>
      </c>
      <c r="E5">
        <f>B5+C5-D5</f>
        <v/>
      </c>
      <c r="F5">
        <f>IF(E5&lt;0,"SHORTFALL",IF(E5&lt;D5,"LOW BUFFER","ok"))</f>
        <v/>
      </c>
    </row>
    <row r="6">
      <c r="A6" t="inlineStr">
        <is>
          <t>May</t>
        </is>
      </c>
      <c r="B6">
        <f>E5</f>
        <v/>
      </c>
      <c r="C6">
        <f>$I$2</f>
        <v/>
      </c>
      <c r="D6">
        <f>SUMIFS('Fixed payments'!$C$2:$C$60,'Fixed payments'!$E$2:$E$60,"&lt;="&amp;5,'Fixed payments'!$F$2:$F$60,"&gt;="&amp;5)</f>
        <v/>
      </c>
      <c r="E6">
        <f>B6+C6-D6</f>
        <v/>
      </c>
      <c r="F6">
        <f>IF(E6&lt;0,"SHORTFALL",IF(E6&lt;D6,"LOW BUFFER","ok"))</f>
        <v/>
      </c>
    </row>
    <row r="7">
      <c r="A7" t="inlineStr">
        <is>
          <t>Jun</t>
        </is>
      </c>
      <c r="B7">
        <f>E6</f>
        <v/>
      </c>
      <c r="C7">
        <f>$I$2</f>
        <v/>
      </c>
      <c r="D7">
        <f>SUMIFS('Fixed payments'!$C$2:$C$60,'Fixed payments'!$E$2:$E$60,"&lt;="&amp;6,'Fixed payments'!$F$2:$F$60,"&gt;="&amp;6)</f>
        <v/>
      </c>
      <c r="E7">
        <f>B7+C7-D7</f>
        <v/>
      </c>
      <c r="F7">
        <f>IF(E7&lt;0,"SHORTFALL",IF(E7&lt;D7,"LOW BUFFER","ok"))</f>
        <v/>
      </c>
    </row>
    <row r="8">
      <c r="A8" t="inlineStr">
        <is>
          <t>Jul</t>
        </is>
      </c>
      <c r="B8">
        <f>E7</f>
        <v/>
      </c>
      <c r="C8">
        <f>$I$2</f>
        <v/>
      </c>
      <c r="D8">
        <f>SUMIFS('Fixed payments'!$C$2:$C$60,'Fixed payments'!$E$2:$E$60,"&lt;="&amp;7,'Fixed payments'!$F$2:$F$60,"&gt;="&amp;7)</f>
        <v/>
      </c>
      <c r="E8">
        <f>B8+C8-D8</f>
        <v/>
      </c>
      <c r="F8">
        <f>IF(E8&lt;0,"SHORTFALL",IF(E8&lt;D8,"LOW BUFFER","ok"))</f>
        <v/>
      </c>
    </row>
    <row r="9">
      <c r="A9" t="inlineStr">
        <is>
          <t>Aug</t>
        </is>
      </c>
      <c r="B9">
        <f>E8</f>
        <v/>
      </c>
      <c r="C9">
        <f>$I$2</f>
        <v/>
      </c>
      <c r="D9">
        <f>SUMIFS('Fixed payments'!$C$2:$C$60,'Fixed payments'!$E$2:$E$60,"&lt;="&amp;8,'Fixed payments'!$F$2:$F$60,"&gt;="&amp;8)</f>
        <v/>
      </c>
      <c r="E9">
        <f>B9+C9-D9</f>
        <v/>
      </c>
      <c r="F9">
        <f>IF(E9&lt;0,"SHORTFALL",IF(E9&lt;D9,"LOW BUFFER","ok"))</f>
        <v/>
      </c>
    </row>
    <row r="10">
      <c r="A10" t="inlineStr">
        <is>
          <t>Sep</t>
        </is>
      </c>
      <c r="B10">
        <f>E9</f>
        <v/>
      </c>
      <c r="C10">
        <f>$I$2</f>
        <v/>
      </c>
      <c r="D10">
        <f>SUMIFS('Fixed payments'!$C$2:$C$60,'Fixed payments'!$E$2:$E$60,"&lt;="&amp;9,'Fixed payments'!$F$2:$F$60,"&gt;="&amp;9)</f>
        <v/>
      </c>
      <c r="E10">
        <f>B10+C10-D10</f>
        <v/>
      </c>
      <c r="F10">
        <f>IF(E10&lt;0,"SHORTFALL",IF(E10&lt;D10,"LOW BUFFER","ok"))</f>
        <v/>
      </c>
    </row>
    <row r="11">
      <c r="A11" t="inlineStr">
        <is>
          <t>Oct</t>
        </is>
      </c>
      <c r="B11">
        <f>E10</f>
        <v/>
      </c>
      <c r="C11">
        <f>$I$2</f>
        <v/>
      </c>
      <c r="D11">
        <f>SUMIFS('Fixed payments'!$C$2:$C$60,'Fixed payments'!$E$2:$E$60,"&lt;="&amp;10,'Fixed payments'!$F$2:$F$60,"&gt;="&amp;10)</f>
        <v/>
      </c>
      <c r="E11">
        <f>B11+C11-D11</f>
        <v/>
      </c>
      <c r="F11">
        <f>IF(E11&lt;0,"SHORTFALL",IF(E11&lt;D11,"LOW BUFFER","ok"))</f>
        <v/>
      </c>
    </row>
    <row r="12">
      <c r="A12" t="inlineStr">
        <is>
          <t>Nov</t>
        </is>
      </c>
      <c r="B12">
        <f>E11</f>
        <v/>
      </c>
      <c r="C12">
        <f>$I$2</f>
        <v/>
      </c>
      <c r="D12">
        <f>SUMIFS('Fixed payments'!$C$2:$C$60,'Fixed payments'!$E$2:$E$60,"&lt;="&amp;11,'Fixed payments'!$F$2:$F$60,"&gt;="&amp;11)</f>
        <v/>
      </c>
      <c r="E12">
        <f>B12+C12-D12</f>
        <v/>
      </c>
      <c r="F12">
        <f>IF(E12&lt;0,"SHORTFALL",IF(E12&lt;D12,"LOW BUFFER","ok"))</f>
        <v/>
      </c>
    </row>
    <row r="13">
      <c r="A13" t="inlineStr">
        <is>
          <t>Dec</t>
        </is>
      </c>
      <c r="B13">
        <f>E12</f>
        <v/>
      </c>
      <c r="C13">
        <f>$I$2</f>
        <v/>
      </c>
      <c r="D13">
        <f>SUMIFS('Fixed payments'!$C$2:$C$60,'Fixed payments'!$E$2:$E$60,"&lt;="&amp;12,'Fixed payments'!$F$2:$F$60,"&gt;="&amp;12)</f>
        <v/>
      </c>
      <c r="E13">
        <f>B13+C13-D13</f>
        <v/>
      </c>
      <c r="F13">
        <f>IF(E13&lt;0,"SHORTFALL",IF(E13&lt;D13,"LOW BUFFER","ok"))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2026-10-23T13:35:56Z</dcterms:created>
  <dcterms:modified xsi:type="dcterms:W3CDTF">2026-10-23T13:35:56Z</dcterms:modified>
</cp:coreProperties>
</file>